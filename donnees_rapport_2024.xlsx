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_2024" sheetId="1" state="visible" r:id="rId3"/>
    <sheet name="RH_2024" sheetId="2" state="visible" r:id="rId4"/>
    <sheet name="Budget_2024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<sst xmlns="http://schemas.openxmlformats.org/spreadsheetml/2006/main" count="76" uniqueCount="73">
  <si>
    <t xml:space="preserve">Données de Ventes — Exercice 2024</t>
  </si>
  <si>
    <t xml:space="preserve">Business Unit</t>
  </si>
  <si>
    <t xml:space="preserve">CA 2024 (€)</t>
  </si>
  <si>
    <t xml:space="preserve">CA 2023 (€)</t>
  </si>
  <si>
    <t xml:space="preserve">Variation (€)</t>
  </si>
  <si>
    <t xml:space="preserve">Variation (%)</t>
  </si>
  <si>
    <t xml:space="preserve">France</t>
  </si>
  <si>
    <t xml:space="preserve">Europe DACH</t>
  </si>
  <si>
    <t xml:space="preserve">Europe Sud</t>
  </si>
  <si>
    <t xml:space="preserve">Amérique du Nord</t>
  </si>
  <si>
    <t xml:space="preserve">Asie-Pacifique</t>
  </si>
  <si>
    <t xml:space="preserve">TOTAL</t>
  </si>
  <si>
    <t xml:space="preserve">Indicateurs clés</t>
  </si>
  <si>
    <t xml:space="preserve">CA Total 2024</t>
  </si>
  <si>
    <t xml:space="preserve">CA Total 2023</t>
  </si>
  <si>
    <t xml:space="preserve">Meilleure BU (CA)</t>
  </si>
  <si>
    <t xml:space="preserve">Nb BU actives</t>
  </si>
  <si>
    <t xml:space="preserve">Ticket moyen (€)</t>
  </si>
  <si>
    <t xml:space="preserve">[REF] CA_TOTAL</t>
  </si>
  <si>
    <t xml:space="preserve">[REF] CA_N1</t>
  </si>
  <si>
    <t xml:space="preserve">[REF] VARIATION_EUR</t>
  </si>
  <si>
    <t xml:space="preserve">[REF] VARIATION_PCT</t>
  </si>
  <si>
    <t xml:space="preserve">Données RH — Exercice 2024</t>
  </si>
  <si>
    <t xml:space="preserve">Catégorie</t>
  </si>
  <si>
    <t xml:space="preserve">Effectif 2024</t>
  </si>
  <si>
    <t xml:space="preserve">Effectif 2023</t>
  </si>
  <si>
    <t xml:space="preserve">Variation</t>
  </si>
  <si>
    <t xml:space="preserve">Femmes (%)</t>
  </si>
  <si>
    <t xml:space="preserve">CDI</t>
  </si>
  <si>
    <t xml:space="preserve">CDD</t>
  </si>
  <si>
    <t xml:space="preserve">Stage / Alternance</t>
  </si>
  <si>
    <t xml:space="preserve">Interim</t>
  </si>
  <si>
    <t xml:space="preserve">Masse Salariale</t>
  </si>
  <si>
    <t xml:space="preserve">Salaires bruts</t>
  </si>
  <si>
    <t xml:space="preserve">Charges patronales</t>
  </si>
  <si>
    <t xml:space="preserve">Intéressement / primes</t>
  </si>
  <si>
    <t xml:space="preserve">Formation</t>
  </si>
  <si>
    <t xml:space="preserve">TOTAL MASSE SALARIALE</t>
  </si>
  <si>
    <t xml:space="preserve">Recrutements 2024</t>
  </si>
  <si>
    <t xml:space="preserve">Profil</t>
  </si>
  <si>
    <t xml:space="preserve">T1</t>
  </si>
  <si>
    <t xml:space="preserve">T2</t>
  </si>
  <si>
    <t xml:space="preserve">T3</t>
  </si>
  <si>
    <t xml:space="preserve">T4</t>
  </si>
  <si>
    <t xml:space="preserve">Cadres</t>
  </si>
  <si>
    <t xml:space="preserve">Techniciens</t>
  </si>
  <si>
    <t xml:space="preserve">Employés</t>
  </si>
  <si>
    <t xml:space="preserve">Alternants</t>
  </si>
  <si>
    <t xml:space="preserve">[REF] NB_RECRUTEMENTS</t>
  </si>
  <si>
    <t xml:space="preserve">Budget vs Réalisé — Exercice 2024</t>
  </si>
  <si>
    <t xml:space="preserve">Poste de charge</t>
  </si>
  <si>
    <t xml:space="preserve">Budget initial (€)</t>
  </si>
  <si>
    <t xml:space="preserve">Réalisé (€)</t>
  </si>
  <si>
    <t xml:space="preserve">Écart (€)</t>
  </si>
  <si>
    <t xml:space="preserve">Écart (%)</t>
  </si>
  <si>
    <t xml:space="preserve">Achats &amp; sous-traitance</t>
  </si>
  <si>
    <t xml:space="preserve">Masse salariale</t>
  </si>
  <si>
    <t xml:space="preserve">Marketing &amp; commercial</t>
  </si>
  <si>
    <t xml:space="preserve">Informatique &amp; SI</t>
  </si>
  <si>
    <t xml:space="preserve">Immobilier &amp; logistique</t>
  </si>
  <si>
    <t xml:space="preserve">R&amp;D</t>
  </si>
  <si>
    <t xml:space="preserve">Frais généraux</t>
  </si>
  <si>
    <t xml:space="preserve">TOTAL CHARGES</t>
  </si>
  <si>
    <t xml:space="preserve">Compte de résultat simplifié</t>
  </si>
  <si>
    <t xml:space="preserve">CA total (depuis Ventes_2024)</t>
  </si>
  <si>
    <t xml:space="preserve">Résultat d'exploitation</t>
  </si>
  <si>
    <t xml:space="preserve">Taux de marge opérationnelle</t>
  </si>
  <si>
    <t xml:space="preserve">[REF] BUDGET_INITIAL</t>
  </si>
  <si>
    <t xml:space="preserve">[REF] BUDGET_REALISE</t>
  </si>
  <si>
    <t xml:space="preserve">[REF] ECART_BUDGET</t>
  </si>
  <si>
    <t xml:space="preserve">[REF] CHARGES_DIRECTES</t>
  </si>
  <si>
    <t xml:space="preserve">[REF] RESULTAT_EXPLOIT</t>
  </si>
  <si>
    <t xml:space="preserve">[REF] TAUX_MARGE_PCT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</si>
</sst>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"/>
    <numFmt numFmtId="166" formatCode="0.0%"/>
    <numFmt numFmtId="167" formatCode="General"/>
    <numFmt numFmtId="168" formatCode="0"/>
    <numFmt numFmtId="169" formatCode="\+0;\-0;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2E5D9E"/>
        <bgColor rgb="FF666699"/>
      </patternFill>
    </fill>
    <fill>
      <patternFill patternType="solid">
        <fgColor rgb="FFD6E4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5F5F5"/>
      <rgbColor rgb="FFD6E4F7"/>
      <rgbColor rgb="FF660066"/>
      <rgbColor rgb="FFFF8080"/>
      <rgbColor rgb="FF2E5D9E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8" hidden="false" customHeight="true" outlineLevel="0" collapsed="false">
      <c r="A4" s="3" t="s">
        <v>6</v>
      </c>
      <c r="B4" s="4" t="n">
        <v>5820000</v>
      </c>
      <c r="C4" s="4" t="n">
        <v>5210000</v>
      </c>
      <c r="D4" s="5" t="n">
        <f aca="false">B4-C4</f>
        <v>610000</v>
      </c>
      <c r="E4" s="6" t="n">
        <f aca="false">(B4-C4)/C4</f>
        <v>0.117082533589251</v>
      </c>
    </row>
    <row r="5" customFormat="false" ht="18" hidden="false" customHeight="true" outlineLevel="0" collapsed="false">
      <c r="A5" s="7" t="s">
        <v>7</v>
      </c>
      <c r="B5" s="8" t="n">
        <v>2340000</v>
      </c>
      <c r="C5" s="8" t="n">
        <v>1980000</v>
      </c>
      <c r="D5" s="9" t="n">
        <f aca="false">B5-C5</f>
        <v>360000</v>
      </c>
      <c r="E5" s="10" t="n">
        <f aca="false">(B5-C5)/C5</f>
        <v>0.181818181818182</v>
      </c>
    </row>
    <row r="6" customFormat="false" ht="18" hidden="false" customHeight="true" outlineLevel="0" collapsed="false">
      <c r="A6" s="3" t="s">
        <v>8</v>
      </c>
      <c r="B6" s="4" t="n">
        <v>1105000</v>
      </c>
      <c r="C6" s="4" t="n">
        <v>970000</v>
      </c>
      <c r="D6" s="5" t="n">
        <f aca="false">B6-C6</f>
        <v>135000</v>
      </c>
      <c r="E6" s="6" t="n">
        <f aca="false">(B6-C6)/C6</f>
        <v>0.139175257731959</v>
      </c>
    </row>
    <row r="7" customFormat="false" ht="18" hidden="false" customHeight="true" outlineLevel="0" collapsed="false">
      <c r="A7" s="7" t="s">
        <v>9</v>
      </c>
      <c r="B7" s="8" t="n">
        <v>780000</v>
      </c>
      <c r="C7" s="8" t="n">
        <v>620000</v>
      </c>
      <c r="D7" s="9" t="n">
        <f aca="false">B7-C7</f>
        <v>160000</v>
      </c>
      <c r="E7" s="10" t="n">
        <f aca="false">(B7-C7)/C7</f>
        <v>0.258064516129032</v>
      </c>
    </row>
    <row r="8" customFormat="false" ht="18" hidden="false" customHeight="true" outlineLevel="0" collapsed="false">
      <c r="A8" s="3" t="s">
        <v>10</v>
      </c>
      <c r="B8" s="4" t="n">
        <v>295000</v>
      </c>
      <c r="C8" s="4" t="n">
        <v>195000</v>
      </c>
      <c r="D8" s="5" t="n">
        <f aca="false">B8-C8</f>
        <v>100000</v>
      </c>
      <c r="E8" s="6" t="n">
        <f aca="false">(B8-C8)/C8</f>
        <v>0.512820512820513</v>
      </c>
    </row>
    <row r="9" customFormat="false" ht="18" hidden="false" customHeight="true" outlineLevel="0" collapsed="false">
      <c r="A9" s="11" t="s">
        <v>11</v>
      </c>
      <c r="B9" s="12" t="n">
        <f aca="false">SUM(B4:B8)</f>
        <v>10340000</v>
      </c>
      <c r="C9" s="12" t="n">
        <f aca="false">SUM(C4:C8)</f>
        <v>8975000</v>
      </c>
      <c r="D9" s="12" t="n">
        <f aca="false">B9-C9</f>
        <v>1365000</v>
      </c>
      <c r="E9" s="13" t="n">
        <f aca="false">(B9-C9)/C9</f>
        <v>0.152089136490251</v>
      </c>
    </row>
    <row r="10" customFormat="false" ht="18" hidden="false" customHeight="true" outlineLevel="0" collapsed="false"/>
    <row r="11" customFormat="false" ht="18" hidden="false" customHeight="true" outlineLevel="0" collapsed="false">
      <c r="A11" s="14" t="s">
        <v>12</v>
      </c>
      <c r="B11" s="14"/>
      <c r="C11" s="14"/>
      <c r="D11" s="14"/>
      <c r="E11" s="14"/>
    </row>
    <row r="12" customFormat="false" ht="18" hidden="false" customHeight="true" outlineLevel="0" collapsed="false">
      <c r="A12" s="3" t="s">
        <v>13</v>
      </c>
      <c r="B12" s="15" t="n">
        <f aca="false">B9</f>
        <v>10340000</v>
      </c>
      <c r="C12" s="16"/>
      <c r="D12" s="16"/>
      <c r="E12" s="16"/>
    </row>
    <row r="13" customFormat="false" ht="18" hidden="false" customHeight="true" outlineLevel="0" collapsed="false">
      <c r="A13" s="7" t="s">
        <v>14</v>
      </c>
      <c r="B13" s="17" t="n">
        <f aca="false">C9</f>
        <v>8975000</v>
      </c>
      <c r="C13" s="16"/>
      <c r="D13" s="16"/>
      <c r="E13" s="16"/>
    </row>
    <row r="14" customFormat="false" ht="18" hidden="false" customHeight="true" outlineLevel="0" collapsed="false">
      <c r="A14" s="3" t="s">
        <v>15</v>
      </c>
      <c r="B14" s="15" t="s">
        <v>6</v>
      </c>
      <c r="C14" s="16"/>
      <c r="D14" s="16"/>
      <c r="E14" s="16"/>
    </row>
    <row r="15" customFormat="false" ht="18" hidden="false" customHeight="true" outlineLevel="0" collapsed="false">
      <c r="A15" s="7" t="s">
        <v>16</v>
      </c>
      <c r="B15" s="18" t="n">
        <v>5</v>
      </c>
      <c r="C15" s="16"/>
      <c r="D15" s="16"/>
      <c r="E15" s="16"/>
    </row>
    <row r="16" customFormat="false" ht="18" hidden="false" customHeight="true" outlineLevel="0" collapsed="false">
      <c r="A16" s="3" t="s">
        <v>17</v>
      </c>
      <c r="B16" s="15" t="n">
        <f aca="false">B9/COUNTA(A4:A8)</f>
        <v>2068000</v>
      </c>
      <c r="C16" s="16"/>
      <c r="D16" s="16"/>
      <c r="E16" s="16"/>
    </row>
    <row r="17" customFormat="false" ht="15" hidden="false" customHeight="false" outlineLevel="0" collapsed="false">
      <c r="A17" s="19" t="s">
        <v>18</v>
      </c>
      <c r="B17" s="20" t="n">
        <f aca="false">B9</f>
        <v>10340000</v>
      </c>
    </row>
    <row r="18" customFormat="false" ht="15" hidden="false" customHeight="false" outlineLevel="0" collapsed="false">
      <c r="A18" s="19" t="s">
        <v>19</v>
      </c>
      <c r="B18" s="20" t="n">
        <f aca="false">C9</f>
        <v>8975000</v>
      </c>
    </row>
    <row r="19" customFormat="false" ht="15" hidden="false" customHeight="false" outlineLevel="0" collapsed="false">
      <c r="A19" s="19" t="s">
        <v>20</v>
      </c>
      <c r="B19" s="21" t="n">
        <f aca="false">B9-C9</f>
        <v>1365000</v>
      </c>
    </row>
    <row r="20" customFormat="false" ht="15" hidden="false" customHeight="false" outlineLevel="0" collapsed="false">
      <c r="A20" s="19" t="s">
        <v>21</v>
      </c>
      <c r="B20" s="21" t="n">
        <f aca="false">(B9-C9)/C9</f>
        <v>0.152089136490251</v>
      </c>
    </row>
  </sheetData>
  <mergeCells count="7">
    <mergeCell ref="A1:E1"/>
    <mergeCell ref="A11:E11"/>
    <mergeCell ref="C12:E12"/>
    <mergeCell ref="C13:E13"/>
    <mergeCell ref="C14:E14"/>
    <mergeCell ref="C15:E15"/>
    <mergeCell ref="C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22</v>
      </c>
      <c r="B1" s="1"/>
      <c r="C1" s="1"/>
      <c r="D1" s="1"/>
      <c r="E1" s="1"/>
    </row>
    <row r="3" customFormat="false" ht="15" hidden="false" customHeight="false" outlineLevel="0" collapsed="false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</row>
    <row r="4" customFormat="false" ht="18" hidden="false" customHeight="true" outlineLevel="0" collapsed="false">
      <c r="A4" s="3" t="s">
        <v>28</v>
      </c>
      <c r="B4" s="22" t="n">
        <v>287</v>
      </c>
      <c r="C4" s="22" t="n">
        <v>262</v>
      </c>
      <c r="D4" s="23" t="n">
        <f aca="false">B4-C4</f>
        <v>25</v>
      </c>
      <c r="E4" s="24" t="n">
        <v>0.43</v>
      </c>
    </row>
    <row r="5" customFormat="false" ht="18" hidden="false" customHeight="true" outlineLevel="0" collapsed="false">
      <c r="A5" s="7" t="s">
        <v>29</v>
      </c>
      <c r="B5" s="25" t="n">
        <v>48</v>
      </c>
      <c r="C5" s="25" t="n">
        <v>55</v>
      </c>
      <c r="D5" s="26" t="n">
        <f aca="false">B5-C5</f>
        <v>-7</v>
      </c>
      <c r="E5" s="27" t="n">
        <v>0.51</v>
      </c>
    </row>
    <row r="6" customFormat="false" ht="18" hidden="false" customHeight="true" outlineLevel="0" collapsed="false">
      <c r="A6" s="3" t="s">
        <v>30</v>
      </c>
      <c r="B6" s="22" t="n">
        <v>24</v>
      </c>
      <c r="C6" s="22" t="n">
        <v>18</v>
      </c>
      <c r="D6" s="23" t="n">
        <f aca="false">B6-C6</f>
        <v>6</v>
      </c>
      <c r="E6" s="24" t="n">
        <v>0.58</v>
      </c>
    </row>
    <row r="7" customFormat="false" ht="18" hidden="false" customHeight="true" outlineLevel="0" collapsed="false">
      <c r="A7" s="7" t="s">
        <v>31</v>
      </c>
      <c r="B7" s="25" t="n">
        <v>12</v>
      </c>
      <c r="C7" s="25" t="n">
        <v>10</v>
      </c>
      <c r="D7" s="26" t="n">
        <f aca="false">B7-C7</f>
        <v>2</v>
      </c>
      <c r="E7" s="27" t="n">
        <v>0.38</v>
      </c>
    </row>
    <row r="8" customFormat="false" ht="18" hidden="false" customHeight="true" outlineLevel="0" collapsed="false">
      <c r="A8" s="11" t="s">
        <v>11</v>
      </c>
      <c r="B8" s="28" t="n">
        <f aca="false">SUM(B4:B7)</f>
        <v>371</v>
      </c>
      <c r="C8" s="28" t="n">
        <f aca="false">SUM(C4:C7)</f>
        <v>345</v>
      </c>
      <c r="D8" s="29" t="n">
        <f aca="false">B8-C8</f>
        <v>26</v>
      </c>
      <c r="E8" s="13" t="n">
        <f aca="false">SUMPRODUCT(B4:B7,E4:E7)/B8</f>
        <v>0.448436657681941</v>
      </c>
    </row>
    <row r="9" customFormat="false" ht="18" hidden="false" customHeight="true" outlineLevel="0" collapsed="false"/>
    <row r="10" customFormat="false" ht="18" hidden="false" customHeight="true" outlineLevel="0" collapsed="false">
      <c r="A10" s="14" t="s">
        <v>32</v>
      </c>
      <c r="B10" s="14"/>
      <c r="C10" s="14"/>
      <c r="D10" s="14"/>
      <c r="E10" s="14"/>
    </row>
    <row r="11" customFormat="false" ht="18" hidden="false" customHeight="true" outlineLevel="0" collapsed="false">
      <c r="A11" s="7" t="s">
        <v>33</v>
      </c>
      <c r="B11" s="8" t="n">
        <v>8640000</v>
      </c>
      <c r="C11" s="16"/>
      <c r="D11" s="16"/>
      <c r="E11" s="16"/>
    </row>
    <row r="12" customFormat="false" ht="18" hidden="false" customHeight="true" outlineLevel="0" collapsed="false">
      <c r="A12" s="3" t="s">
        <v>34</v>
      </c>
      <c r="B12" s="4" t="n">
        <v>3110000</v>
      </c>
      <c r="C12" s="16"/>
      <c r="D12" s="16"/>
      <c r="E12" s="16"/>
    </row>
    <row r="13" customFormat="false" ht="18" hidden="false" customHeight="true" outlineLevel="0" collapsed="false">
      <c r="A13" s="7" t="s">
        <v>35</v>
      </c>
      <c r="B13" s="8" t="n">
        <v>420000</v>
      </c>
      <c r="C13" s="16"/>
      <c r="D13" s="16"/>
      <c r="E13" s="16"/>
    </row>
    <row r="14" customFormat="false" ht="18" hidden="false" customHeight="true" outlineLevel="0" collapsed="false">
      <c r="A14" s="3" t="s">
        <v>36</v>
      </c>
      <c r="B14" s="4" t="n">
        <v>185000</v>
      </c>
      <c r="C14" s="16"/>
      <c r="D14" s="16"/>
      <c r="E14" s="16"/>
    </row>
    <row r="15" customFormat="false" ht="18" hidden="false" customHeight="true" outlineLevel="0" collapsed="false">
      <c r="A15" s="11" t="s">
        <v>37</v>
      </c>
      <c r="B15" s="12" t="n">
        <f aca="false">SUM(B11:B14)</f>
        <v>12355000</v>
      </c>
    </row>
    <row r="16" customFormat="false" ht="18" hidden="false" customHeight="true" outlineLevel="0" collapsed="false"/>
    <row r="17" customFormat="false" ht="18" hidden="false" customHeight="true" outlineLevel="0" collapsed="false">
      <c r="A17" s="14" t="s">
        <v>38</v>
      </c>
      <c r="B17" s="14"/>
      <c r="C17" s="14"/>
      <c r="D17" s="14"/>
      <c r="E17" s="14"/>
    </row>
    <row r="18" customFormat="false" ht="18" hidden="false" customHeight="true" outlineLevel="0" collapsed="false">
      <c r="A18" s="30" t="s">
        <v>39</v>
      </c>
      <c r="B18" s="30" t="s">
        <v>40</v>
      </c>
      <c r="C18" s="30" t="s">
        <v>41</v>
      </c>
      <c r="D18" s="30" t="s">
        <v>42</v>
      </c>
      <c r="E18" s="30" t="s">
        <v>43</v>
      </c>
    </row>
    <row r="19" customFormat="false" ht="18" hidden="false" customHeight="true" outlineLevel="0" collapsed="false">
      <c r="A19" s="7" t="s">
        <v>44</v>
      </c>
      <c r="B19" s="31" t="n">
        <v>4</v>
      </c>
      <c r="C19" s="31" t="n">
        <v>5</v>
      </c>
      <c r="D19" s="31" t="n">
        <v>6</v>
      </c>
      <c r="E19" s="31" t="n">
        <v>4</v>
      </c>
    </row>
    <row r="20" customFormat="false" ht="18" hidden="false" customHeight="true" outlineLevel="0" collapsed="false">
      <c r="A20" s="3" t="s">
        <v>45</v>
      </c>
      <c r="B20" s="32" t="n">
        <v>3</v>
      </c>
      <c r="C20" s="32" t="n">
        <v>4</v>
      </c>
      <c r="D20" s="32" t="n">
        <v>3</v>
      </c>
      <c r="E20" s="32" t="n">
        <v>5</v>
      </c>
    </row>
    <row r="21" customFormat="false" ht="18" hidden="false" customHeight="true" outlineLevel="0" collapsed="false">
      <c r="A21" s="7" t="s">
        <v>46</v>
      </c>
      <c r="B21" s="31" t="n">
        <v>2</v>
      </c>
      <c r="C21" s="31" t="n">
        <v>3</v>
      </c>
      <c r="D21" s="31" t="n">
        <v>2</v>
      </c>
      <c r="E21" s="31" t="n">
        <v>2</v>
      </c>
    </row>
    <row r="22" customFormat="false" ht="18" hidden="false" customHeight="true" outlineLevel="0" collapsed="false">
      <c r="A22" s="3" t="s">
        <v>47</v>
      </c>
      <c r="B22" s="32" t="n">
        <v>3</v>
      </c>
      <c r="C22" s="32" t="n">
        <v>4</v>
      </c>
      <c r="D22" s="32" t="n">
        <v>3</v>
      </c>
      <c r="E22" s="32" t="n">
        <v>2</v>
      </c>
    </row>
    <row r="23" customFormat="false" ht="18" hidden="false" customHeight="true" outlineLevel="0" collapsed="false">
      <c r="A23" s="11" t="s">
        <v>11</v>
      </c>
      <c r="B23" s="28" t="n">
        <f aca="false">SUM(B19:B22)</f>
        <v>12</v>
      </c>
      <c r="C23" s="28" t="n">
        <f aca="false">SUM(C19:C22)</f>
        <v>16</v>
      </c>
      <c r="D23" s="28" t="n">
        <f aca="false">SUM(D19:D22)</f>
        <v>14</v>
      </c>
      <c r="E23" s="28" t="n">
        <f aca="false">SUM(E19:E22)</f>
        <v>13</v>
      </c>
    </row>
    <row r="24" customFormat="false" ht="18" hidden="false" customHeight="true" outlineLevel="0" collapsed="false"/>
    <row r="25" customFormat="false" ht="18" hidden="false" customHeight="true" outlineLevel="0" collapsed="false">
      <c r="A25" s="19" t="s">
        <v>48</v>
      </c>
      <c r="B25" s="21" t="n">
        <f aca="false">SUM(B23:E23)</f>
        <v>55</v>
      </c>
    </row>
  </sheetData>
  <mergeCells count="7">
    <mergeCell ref="A1:E1"/>
    <mergeCell ref="A10:E10"/>
    <mergeCell ref="C11:E11"/>
    <mergeCell ref="C12:E12"/>
    <mergeCell ref="C13:E13"/>
    <mergeCell ref="C14:E14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" t="s">
        <v>49</v>
      </c>
      <c r="B1" s="1"/>
      <c r="C1" s="1"/>
      <c r="D1" s="1"/>
      <c r="E1" s="1"/>
    </row>
    <row r="3" customFormat="false" ht="15" hidden="false" customHeight="false" outlineLevel="0" collapsed="false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</row>
    <row r="4" customFormat="false" ht="18" hidden="false" customHeight="true" outlineLevel="0" collapsed="false">
      <c r="A4" s="3" t="s">
        <v>55</v>
      </c>
      <c r="B4" s="4" t="n">
        <v>2800000</v>
      </c>
      <c r="C4" s="4" t="n">
        <v>2650000</v>
      </c>
      <c r="D4" s="5" t="n">
        <f aca="false">C4-B4</f>
        <v>-150000</v>
      </c>
      <c r="E4" s="6" t="n">
        <f aca="false">(C4-B4)/B4</f>
        <v>-0.0535714285714286</v>
      </c>
    </row>
    <row r="5" customFormat="false" ht="18" hidden="false" customHeight="true" outlineLevel="0" collapsed="false">
      <c r="A5" s="7" t="s">
        <v>56</v>
      </c>
      <c r="B5" s="8" t="n">
        <v>9200000</v>
      </c>
      <c r="C5" s="8" t="n">
        <v>9355000</v>
      </c>
      <c r="D5" s="9" t="n">
        <f aca="false">C5-B5</f>
        <v>155000</v>
      </c>
      <c r="E5" s="10" t="n">
        <f aca="false">(C5-B5)/B5</f>
        <v>0.0168478260869565</v>
      </c>
    </row>
    <row r="6" customFormat="false" ht="18" hidden="false" customHeight="true" outlineLevel="0" collapsed="false">
      <c r="A6" s="3" t="s">
        <v>57</v>
      </c>
      <c r="B6" s="4" t="n">
        <v>480000</v>
      </c>
      <c r="C6" s="4" t="n">
        <v>510000</v>
      </c>
      <c r="D6" s="5" t="n">
        <f aca="false">C6-B6</f>
        <v>30000</v>
      </c>
      <c r="E6" s="6" t="n">
        <f aca="false">(C6-B6)/B6</f>
        <v>0.0625</v>
      </c>
    </row>
    <row r="7" customFormat="false" ht="18" hidden="false" customHeight="true" outlineLevel="0" collapsed="false">
      <c r="A7" s="7" t="s">
        <v>58</v>
      </c>
      <c r="B7" s="8" t="n">
        <v>320000</v>
      </c>
      <c r="C7" s="8" t="n">
        <v>298000</v>
      </c>
      <c r="D7" s="9" t="n">
        <f aca="false">C7-B7</f>
        <v>-22000</v>
      </c>
      <c r="E7" s="10" t="n">
        <f aca="false">(C7-B7)/B7</f>
        <v>-0.06875</v>
      </c>
    </row>
    <row r="8" customFormat="false" ht="18" hidden="false" customHeight="true" outlineLevel="0" collapsed="false">
      <c r="A8" s="3" t="s">
        <v>59</v>
      </c>
      <c r="B8" s="4" t="n">
        <v>410000</v>
      </c>
      <c r="C8" s="4" t="n">
        <v>395000</v>
      </c>
      <c r="D8" s="5" t="n">
        <f aca="false">C8-B8</f>
        <v>-15000</v>
      </c>
      <c r="E8" s="6" t="n">
        <f aca="false">(C8-B8)/B8</f>
        <v>-0.0365853658536585</v>
      </c>
    </row>
    <row r="9" customFormat="false" ht="18" hidden="false" customHeight="true" outlineLevel="0" collapsed="false">
      <c r="A9" s="7" t="s">
        <v>60</v>
      </c>
      <c r="B9" s="8" t="n">
        <v>650000</v>
      </c>
      <c r="C9" s="8" t="n">
        <v>612000</v>
      </c>
      <c r="D9" s="9" t="n">
        <f aca="false">C9-B9</f>
        <v>-38000</v>
      </c>
      <c r="E9" s="10" t="n">
        <f aca="false">(C9-B9)/B9</f>
        <v>-0.0584615384615385</v>
      </c>
    </row>
    <row r="10" customFormat="false" ht="18" hidden="false" customHeight="true" outlineLevel="0" collapsed="false">
      <c r="A10" s="3" t="s">
        <v>61</v>
      </c>
      <c r="B10" s="4" t="n">
        <v>240000</v>
      </c>
      <c r="C10" s="4" t="n">
        <v>267000</v>
      </c>
      <c r="D10" s="5" t="n">
        <f aca="false">C10-B10</f>
        <v>27000</v>
      </c>
      <c r="E10" s="6" t="n">
        <f aca="false">(C10-B10)/B10</f>
        <v>0.1125</v>
      </c>
    </row>
    <row r="11" customFormat="false" ht="18" hidden="false" customHeight="true" outlineLevel="0" collapsed="false">
      <c r="A11" s="11" t="s">
        <v>62</v>
      </c>
      <c r="B11" s="12" t="n">
        <f aca="false">SUM(B4:B10)</f>
        <v>14100000</v>
      </c>
      <c r="C11" s="12" t="n">
        <f aca="false">SUM(C4:C10)</f>
        <v>14087000</v>
      </c>
      <c r="D11" s="12" t="n">
        <f aca="false">C11-B11</f>
        <v>-13000</v>
      </c>
      <c r="E11" s="13" t="n">
        <f aca="false">(C11-B11)/B11</f>
        <v>-0.000921985815602837</v>
      </c>
    </row>
    <row r="12" customFormat="false" ht="18" hidden="false" customHeight="true" outlineLevel="0" collapsed="false"/>
    <row r="13" customFormat="false" ht="18" hidden="false" customHeight="true" outlineLevel="0" collapsed="false">
      <c r="A13" s="14" t="s">
        <v>63</v>
      </c>
      <c r="B13" s="14"/>
      <c r="C13" s="14"/>
      <c r="D13" s="14"/>
      <c r="E13" s="14"/>
    </row>
    <row r="14" customFormat="false" ht="18" hidden="false" customHeight="true" outlineLevel="0" collapsed="false">
      <c r="A14" s="33" t="s">
        <v>64</v>
      </c>
      <c r="B14" s="34" t="n">
        <v>10340000</v>
      </c>
      <c r="C14" s="34" t="n">
        <v>10340000</v>
      </c>
    </row>
    <row r="15" customFormat="false" ht="18" hidden="false" customHeight="true" outlineLevel="0" collapsed="false">
      <c r="A15" s="33" t="s">
        <v>65</v>
      </c>
      <c r="B15" s="17" t="n">
        <f aca="false">B14-B11</f>
        <v>-3760000</v>
      </c>
      <c r="C15" s="17" t="n">
        <f aca="false">C14-C11</f>
        <v>-3747000</v>
      </c>
      <c r="D15" s="17" t="n">
        <f aca="false">C15-B15</f>
        <v>13000</v>
      </c>
      <c r="E15" s="35" t="n">
        <f aca="false">(C15-B15)/B15</f>
        <v>-0.00345744680851064</v>
      </c>
    </row>
    <row r="16" customFormat="false" ht="18" hidden="false" customHeight="true" outlineLevel="0" collapsed="false">
      <c r="A16" s="33" t="s">
        <v>66</v>
      </c>
      <c r="B16" s="35" t="n">
        <f aca="false">B15/B14</f>
        <v>-0.363636363636364</v>
      </c>
      <c r="C16" s="35" t="n">
        <f aca="false">C15/C14</f>
        <v>-0.362379110251451</v>
      </c>
    </row>
    <row r="17" customFormat="false" ht="18" hidden="false" customHeight="true" outlineLevel="0" collapsed="false"/>
    <row r="18" customFormat="false" ht="18" hidden="false" customHeight="true" outlineLevel="0" collapsed="false">
      <c r="A18" s="19" t="s">
        <v>67</v>
      </c>
      <c r="B18" s="20" t="n">
        <f aca="false">B11</f>
        <v>14100000</v>
      </c>
    </row>
    <row r="19" customFormat="false" ht="18" hidden="false" customHeight="true" outlineLevel="0" collapsed="false">
      <c r="A19" s="19" t="s">
        <v>68</v>
      </c>
      <c r="B19" s="20" t="n">
        <f aca="false">C11</f>
        <v>14087000</v>
      </c>
    </row>
    <row r="20" customFormat="false" ht="18" hidden="false" customHeight="true" outlineLevel="0" collapsed="false">
      <c r="A20" s="19" t="s">
        <v>69</v>
      </c>
      <c r="B20" s="20" t="n">
        <f aca="false">C11-B11</f>
        <v>-13000</v>
      </c>
    </row>
    <row r="21" customFormat="false" ht="18" hidden="false" customHeight="true" outlineLevel="0" collapsed="false">
      <c r="A21" s="19" t="s">
        <v>70</v>
      </c>
      <c r="B21" s="20" t="n">
        <f aca="false">B4</f>
        <v>2800000</v>
      </c>
    </row>
    <row r="22" customFormat="false" ht="18" hidden="false" customHeight="true" outlineLevel="0" collapsed="false">
      <c r="A22" s="19" t="s">
        <v>71</v>
      </c>
      <c r="B22" s="20" t="n">
        <f aca="false">C15</f>
        <v>-3747000</v>
      </c>
    </row>
    <row r="23" customFormat="false" ht="18" hidden="false" customHeight="true" outlineLevel="0" collapsed="false">
      <c r="A23" s="19" t="s">
        <v>72</v>
      </c>
      <c r="B23" s="36" t="n">
        <f aca="false">C15/C14</f>
        <v>-0.362379110251451</v>
      </c>
    </row>
  </sheetData>
  <mergeCells count="2">
    <mergeCell ref="A1:E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2026-03-11T20:55:16Z</dcterms:created>
  <dc:creator>openpyxl</dc:creator>
  <dc:description/>
  <dc:language>en-US</dc:language>
  <cp:lastModifiedBy/>
  <dcterms:modified xsi:type="dcterms:W3CDTF">2026-03-11T20:55:16Z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